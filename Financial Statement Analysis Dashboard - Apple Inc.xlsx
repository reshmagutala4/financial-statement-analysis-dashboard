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ESHMA\Downloads\"/>
    </mc:Choice>
  </mc:AlternateContent>
  <xr:revisionPtr revIDLastSave="0" documentId="13_ncr:1_{23EF3119-28E0-4A0C-9F72-62DBD78D272D}" xr6:coauthVersionLast="47" xr6:coauthVersionMax="47" xr10:uidLastSave="{00000000-0000-0000-0000-000000000000}"/>
  <bookViews>
    <workbookView xWindow="-108" yWindow="-108" windowWidth="23256" windowHeight="12456" activeTab="1" xr2:uid="{5859210B-7132-4D4E-AB58-8A7546B1D762}"/>
  </bookViews>
  <sheets>
    <sheet name="Raw Data" sheetId="1" r:id="rId1"/>
    <sheet name="Ratio Analysis" sheetId="2" r:id="rId2"/>
    <sheet name="Dashboard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4" i="2" l="1"/>
  <c r="F5" i="2"/>
  <c r="F6" i="2"/>
  <c r="F7" i="2"/>
  <c r="F3" i="2"/>
  <c r="F3" i="1" a="1"/>
  <c r="F3" i="1" s="1"/>
  <c r="E4" i="2"/>
  <c r="E5" i="2"/>
  <c r="E6" i="2"/>
  <c r="E7" i="2"/>
  <c r="E3" i="2"/>
  <c r="D4" i="2"/>
  <c r="D5" i="2"/>
  <c r="D6" i="2"/>
  <c r="D7" i="2"/>
  <c r="D3" i="2"/>
  <c r="C4" i="2"/>
  <c r="C5" i="2"/>
  <c r="C6" i="2"/>
  <c r="C7" i="2"/>
  <c r="C3" i="2"/>
  <c r="B4" i="2"/>
  <c r="B5" i="2"/>
  <c r="B6" i="2"/>
  <c r="B7" i="2"/>
  <c r="B3" i="2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<sst xmlns="http://schemas.openxmlformats.org/spreadsheetml/2006/main" count="17" uniqueCount="17">
  <si>
    <t>Apple Inc. - Financial Statement Data (2019 - 2023)</t>
  </si>
  <si>
    <t xml:space="preserve">Year </t>
  </si>
  <si>
    <t>Revenue</t>
  </si>
  <si>
    <t>Net Income</t>
  </si>
  <si>
    <t>Total Assets</t>
  </si>
  <si>
    <t>Total Equity</t>
  </si>
  <si>
    <t>Current Assets</t>
  </si>
  <si>
    <t>Current Liabilities</t>
  </si>
  <si>
    <t>Net Profit Margin</t>
  </si>
  <si>
    <t>ROE</t>
  </si>
  <si>
    <t>ROA</t>
  </si>
  <si>
    <t>Current Ratio</t>
  </si>
  <si>
    <t>Year</t>
  </si>
  <si>
    <t>Apple Inc. - Financial Performace Dashboard (2019 - 2023)</t>
  </si>
  <si>
    <t>Total Debt</t>
  </si>
  <si>
    <t>Debt to equity</t>
  </si>
  <si>
    <t>Apple Inc. - Financial Ratio Analysis (2019 - 2023)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</si>
</sst>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center"/>
    </xf>
    <xf numFmtId="10" fontId="0" fillId="0" borderId="0" xfId="0" applyNumberFormat="1"/>
    <xf numFmtId="2" fontId="0" fillId="0" borderId="0" xfId="0" applyNumberFormat="1"/>
    <xf numFmtId="0" fontId="3" fillId="0" borderId="0" xfId="0" applyFont="1"/>
    <xf numFmtId="0" fontId="1" fillId="0" borderId="0" xfId="0" applyFont="1"/>
    <xf numFmtId="0" fontId="2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4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cap="none" spc="120" normalizeH="0" baseline="0">
                <a:solidFill>
                  <a:schemeClr val="dk1"/>
                </a:solidFill>
                <a:latin typeface="+mn-lt"/>
                <a:ea typeface="+mn-ea"/>
                <a:cs typeface="+mn-cs"/>
              </a:defRPr>
            </a:pPr>
            <a:r>
              <a:rPr lang="en-US" sz="1400" cap="none" baseline="0"/>
              <a:t>Profitability Ratios (2019 - 2023)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cap="none" spc="120" normalizeH="0" baseline="0">
              <a:solidFill>
                <a:schemeClr val="dk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cked"/>
        <c:varyColors val="0"/>
        <c:ser>
          <c:idx val="1"/>
          <c:order val="1"/>
          <c:tx>
            <c:strRef>
              <c:f>'Ratio Analysis'!$B$2</c:f>
              <c:strCache>
                <c:ptCount val="1"/>
                <c:pt idx="0">
                  <c:v>Net Profit Margin</c:v>
                </c:pt>
              </c:strCache>
            </c:strRef>
          </c:tx>
          <c:spPr>
            <a:ln w="22225" cap="rnd">
              <a:solidFill>
                <a:schemeClr val="accent4"/>
              </a:solidFill>
              <a:round/>
            </a:ln>
            <a:effectLst/>
          </c:spPr>
          <c:marker>
            <c:symbol val="square"/>
            <c:size val="6"/>
            <c:spPr>
              <a:solidFill>
                <a:schemeClr val="accent4"/>
              </a:solidFill>
              <a:ln w="9525">
                <a:solidFill>
                  <a:schemeClr val="accent4"/>
                </a:solidFill>
                <a:round/>
              </a:ln>
              <a:effectLst/>
            </c:spPr>
          </c:marker>
          <c:cat>
            <c:numRef>
              <c:f>'Ratio Analysis'!$A$3:$A$7</c:f>
              <c:numCache>
                <c:formatCode>General</c:formatCode>
                <c:ptCount val="5"/>
                <c:pt idx="0">
                  <c:v>2019</c:v>
                </c:pt>
                <c:pt idx="1">
                  <c:v>2020</c:v>
                </c:pt>
                <c:pt idx="2">
                  <c:v>2021</c:v>
                </c:pt>
                <c:pt idx="3">
                  <c:v>2022</c:v>
                </c:pt>
                <c:pt idx="4">
                  <c:v>2023</c:v>
                </c:pt>
              </c:numCache>
            </c:numRef>
          </c:cat>
          <c:val>
            <c:numRef>
              <c:f>'Ratio Analysis'!$B$3:$B$7</c:f>
              <c:numCache>
                <c:formatCode>0.00%</c:formatCode>
                <c:ptCount val="5"/>
                <c:pt idx="0">
                  <c:v>0.21238094505984456</c:v>
                </c:pt>
                <c:pt idx="1">
                  <c:v>0.20913611278072236</c:v>
                </c:pt>
                <c:pt idx="2">
                  <c:v>0.25881793355694238</c:v>
                </c:pt>
                <c:pt idx="3">
                  <c:v>0.25309640705199732</c:v>
                </c:pt>
                <c:pt idx="4">
                  <c:v>0.25306234264320282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BEA9-40A6-916F-9B6FD3AF630B}"/>
            </c:ext>
          </c:extLst>
        </c:ser>
        <c:ser>
          <c:idx val="2"/>
          <c:order val="2"/>
          <c:tx>
            <c:strRef>
              <c:f>'Ratio Analysis'!$C$2</c:f>
              <c:strCache>
                <c:ptCount val="1"/>
                <c:pt idx="0">
                  <c:v>ROE</c:v>
                </c:pt>
              </c:strCache>
            </c:strRef>
          </c:tx>
          <c:spPr>
            <a:ln w="22225" cap="rnd">
              <a:solidFill>
                <a:schemeClr val="accent6"/>
              </a:solidFill>
              <a:round/>
            </a:ln>
            <a:effectLst/>
          </c:spPr>
          <c:marker>
            <c:symbol val="triangle"/>
            <c:size val="6"/>
            <c:spPr>
              <a:solidFill>
                <a:schemeClr val="accent6"/>
              </a:solidFill>
              <a:ln w="9525">
                <a:solidFill>
                  <a:schemeClr val="accent6"/>
                </a:solidFill>
                <a:round/>
              </a:ln>
              <a:effectLst/>
            </c:spPr>
          </c:marker>
          <c:cat>
            <c:numRef>
              <c:f>'Ratio Analysis'!$A$3:$A$7</c:f>
              <c:numCache>
                <c:formatCode>General</c:formatCode>
                <c:ptCount val="5"/>
                <c:pt idx="0">
                  <c:v>2019</c:v>
                </c:pt>
                <c:pt idx="1">
                  <c:v>2020</c:v>
                </c:pt>
                <c:pt idx="2">
                  <c:v>2021</c:v>
                </c:pt>
                <c:pt idx="3">
                  <c:v>2022</c:v>
                </c:pt>
                <c:pt idx="4">
                  <c:v>2023</c:v>
                </c:pt>
              </c:numCache>
            </c:numRef>
          </c:cat>
          <c:val>
            <c:numRef>
              <c:f>'Ratio Analysis'!$C$3:$C$7</c:f>
              <c:numCache>
                <c:formatCode>0.00%</c:formatCode>
                <c:ptCount val="5"/>
                <c:pt idx="0">
                  <c:v>0.61064450534877557</c:v>
                </c:pt>
                <c:pt idx="1">
                  <c:v>0.87866358530127486</c:v>
                </c:pt>
                <c:pt idx="2">
                  <c:v>1.5007132667617689</c:v>
                </c:pt>
                <c:pt idx="3">
                  <c:v>1.9695887275023682</c:v>
                </c:pt>
                <c:pt idx="4">
                  <c:v>1.5607601454639075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BEA9-40A6-916F-9B6FD3AF630B}"/>
            </c:ext>
          </c:extLst>
        </c:ser>
        <c:ser>
          <c:idx val="3"/>
          <c:order val="3"/>
          <c:tx>
            <c:strRef>
              <c:f>'Ratio Analysis'!$D$2</c:f>
              <c:strCache>
                <c:ptCount val="1"/>
                <c:pt idx="0">
                  <c:v>ROA</c:v>
                </c:pt>
              </c:strCache>
            </c:strRef>
          </c:tx>
          <c:spPr>
            <a:ln w="2222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x"/>
            <c:size val="6"/>
            <c:spPr>
              <a:noFill/>
              <a:ln w="9525">
                <a:solidFill>
                  <a:schemeClr val="accent2">
                    <a:lumMod val="60000"/>
                  </a:schemeClr>
                </a:solidFill>
                <a:round/>
              </a:ln>
              <a:effectLst/>
            </c:spPr>
          </c:marker>
          <c:cat>
            <c:numRef>
              <c:f>'Ratio Analysis'!$A$3:$A$7</c:f>
              <c:numCache>
                <c:formatCode>General</c:formatCode>
                <c:ptCount val="5"/>
                <c:pt idx="0">
                  <c:v>2019</c:v>
                </c:pt>
                <c:pt idx="1">
                  <c:v>2020</c:v>
                </c:pt>
                <c:pt idx="2">
                  <c:v>2021</c:v>
                </c:pt>
                <c:pt idx="3">
                  <c:v>2022</c:v>
                </c:pt>
                <c:pt idx="4">
                  <c:v>2023</c:v>
                </c:pt>
              </c:numCache>
            </c:numRef>
          </c:cat>
          <c:val>
            <c:numRef>
              <c:f>'Ratio Analysis'!$D$3:$D$7</c:f>
              <c:numCache>
                <c:formatCode>0.00%</c:formatCode>
                <c:ptCount val="5"/>
                <c:pt idx="0">
                  <c:v>0.16323009842961633</c:v>
                </c:pt>
                <c:pt idx="1">
                  <c:v>0.1772557180259843</c:v>
                </c:pt>
                <c:pt idx="2">
                  <c:v>0.26974205275183616</c:v>
                </c:pt>
                <c:pt idx="3">
                  <c:v>0.28292440929256851</c:v>
                </c:pt>
                <c:pt idx="4">
                  <c:v>0.27509834563776475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BEA9-40A6-916F-9B6FD3AF630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87420991"/>
        <c:axId val="389588191"/>
        <c:extLst>
          <c:ext xmlns:c15="http://schemas.microsoft.com/office/drawing/2012/chart" uri="{02D57815-91ED-43cb-92C2-25804820EDAC}">
            <c15:filteredLine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'Ratio Analysis'!$A$2</c15:sqref>
                        </c15:formulaRef>
                      </c:ext>
                    </c:extLst>
                    <c:strCache>
                      <c:ptCount val="1"/>
                      <c:pt idx="0">
                        <c:v>Year</c:v>
                      </c:pt>
                    </c:strCache>
                  </c:strRef>
                </c:tx>
                <c:spPr>
                  <a:ln w="22225" cap="rnd">
                    <a:solidFill>
                      <a:schemeClr val="accent2"/>
                    </a:solidFill>
                    <a:round/>
                  </a:ln>
                  <a:effectLst/>
                </c:spPr>
                <c:marker>
                  <c:symbol val="diamond"/>
                  <c:size val="6"/>
                  <c:spPr>
                    <a:solidFill>
                      <a:schemeClr val="accent2"/>
                    </a:solidFill>
                    <a:ln w="9525">
                      <a:solidFill>
                        <a:schemeClr val="accent2"/>
                      </a:solidFill>
                      <a:round/>
                    </a:ln>
                    <a:effectLst/>
                  </c:spPr>
                </c:marker>
                <c:cat>
                  <c:numRef>
                    <c:extLst>
                      <c:ext uri="{02D57815-91ED-43cb-92C2-25804820EDAC}">
                        <c15:formulaRef>
                          <c15:sqref>'Ratio Analysis'!$A$3:$A$7</c15:sqref>
                        </c15:formulaRef>
                      </c:ext>
                    </c:extLst>
                    <c:numCache>
                      <c:formatCode>General</c:formatCode>
                      <c:ptCount val="5"/>
                      <c:pt idx="0">
                        <c:v>2019</c:v>
                      </c:pt>
                      <c:pt idx="1">
                        <c:v>2020</c:v>
                      </c:pt>
                      <c:pt idx="2">
                        <c:v>2021</c:v>
                      </c:pt>
                      <c:pt idx="3">
                        <c:v>2022</c:v>
                      </c:pt>
                      <c:pt idx="4">
                        <c:v>2023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'Ratio Analysis'!$A$3:$A$7</c15:sqref>
                        </c15:formulaRef>
                      </c:ext>
                    </c:extLst>
                    <c:numCache>
                      <c:formatCode>General</c:formatCode>
                      <c:ptCount val="5"/>
                      <c:pt idx="0">
                        <c:v>2019</c:v>
                      </c:pt>
                      <c:pt idx="1">
                        <c:v>2020</c:v>
                      </c:pt>
                      <c:pt idx="2">
                        <c:v>2021</c:v>
                      </c:pt>
                      <c:pt idx="3">
                        <c:v>2022</c:v>
                      </c:pt>
                      <c:pt idx="4">
                        <c:v>2023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0-BEA9-40A6-916F-9B6FD3AF630B}"/>
                  </c:ext>
                </c:extLst>
              </c15:ser>
            </c15:filteredLineSeries>
          </c:ext>
        </c:extLst>
      </c:lineChart>
      <c:catAx>
        <c:axId val="38742099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cap="all" spc="120" normalizeH="0" baseline="0">
                <a:solidFill>
                  <a:schemeClr val="dk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89588191"/>
        <c:crosses val="autoZero"/>
        <c:auto val="1"/>
        <c:lblAlgn val="ctr"/>
        <c:lblOffset val="100"/>
        <c:noMultiLvlLbl val="0"/>
      </c:catAx>
      <c:valAx>
        <c:axId val="389588191"/>
        <c:scaling>
          <c:orientation val="minMax"/>
        </c:scaling>
        <c:delete val="0"/>
        <c:axPos val="l"/>
        <c:majorGridlines>
          <c:spPr>
            <a:ln w="19050" cap="flat" cmpd="sng" algn="ctr">
              <a:solidFill>
                <a:schemeClr val="bg2">
                  <a:lumMod val="50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dk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8742099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zero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lt1"/>
    </a:solidFill>
    <a:ln w="9525" cap="flat" cmpd="sng" algn="ctr">
      <a:noFill/>
      <a:round/>
    </a:ln>
    <a:effectLst/>
  </c:spPr>
  <c:txPr>
    <a:bodyPr/>
    <a:lstStyle/>
    <a:p>
      <a:pPr>
        <a:defRPr>
          <a:solidFill>
            <a:schemeClr val="dk1"/>
          </a:solidFill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b="1"/>
              <a:t>Liquidity</a:t>
            </a:r>
            <a:r>
              <a:rPr lang="en-IN" b="1" baseline="0"/>
              <a:t> Ratios (2019 - 2023)</a:t>
            </a:r>
            <a:endParaRPr lang="en-IN" b="1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IN"/>
        </a:p>
      </c:txPr>
    </c:title>
    <c:autoTitleDeleted val="0"/>
    <c:plotArea>
      <c:layout/>
      <c:lineChart>
        <c:grouping val="stacked"/>
        <c:varyColors val="0"/>
        <c:ser>
          <c:idx val="1"/>
          <c:order val="1"/>
          <c:tx>
            <c:strRef>
              <c:f>'Ratio Analysis'!$E$2</c:f>
              <c:strCache>
                <c:ptCount val="1"/>
                <c:pt idx="0">
                  <c:v>Current Ratio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numRef>
              <c:f>'Ratio Analysis'!$A$3:$A$7</c:f>
              <c:numCache>
                <c:formatCode>General</c:formatCode>
                <c:ptCount val="5"/>
                <c:pt idx="0">
                  <c:v>2019</c:v>
                </c:pt>
                <c:pt idx="1">
                  <c:v>2020</c:v>
                </c:pt>
                <c:pt idx="2">
                  <c:v>2021</c:v>
                </c:pt>
                <c:pt idx="3">
                  <c:v>2022</c:v>
                </c:pt>
                <c:pt idx="4">
                  <c:v>2023</c:v>
                </c:pt>
              </c:numCache>
            </c:numRef>
          </c:cat>
          <c:val>
            <c:numRef>
              <c:f>'Ratio Analysis'!$E$3:$E$7</c:f>
              <c:numCache>
                <c:formatCode>0.00</c:formatCode>
                <c:ptCount val="5"/>
                <c:pt idx="0">
                  <c:v>1.540125617208044</c:v>
                </c:pt>
                <c:pt idx="1">
                  <c:v>1.3636044481554577</c:v>
                </c:pt>
                <c:pt idx="2">
                  <c:v>1.0745531195957954</c:v>
                </c:pt>
                <c:pt idx="3">
                  <c:v>0.87935602862672257</c:v>
                </c:pt>
                <c:pt idx="4">
                  <c:v>0.98801167175929749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C05C-4637-8936-98C1C8330A3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52123199"/>
        <c:axId val="382516815"/>
        <c:extLst>
          <c:ext xmlns:c15="http://schemas.microsoft.com/office/drawing/2012/chart" uri="{02D57815-91ED-43cb-92C2-25804820EDAC}">
            <c15:filteredLine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'Ratio Analysis'!$A$2</c15:sqref>
                        </c15:formulaRef>
                      </c:ext>
                    </c:extLst>
                    <c:strCache>
                      <c:ptCount val="1"/>
                      <c:pt idx="0">
                        <c:v>Year</c:v>
                      </c:pt>
                    </c:strCache>
                  </c:strRef>
                </c:tx>
                <c:spPr>
                  <a:ln w="28575" cap="rnd">
                    <a:solidFill>
                      <a:schemeClr val="accent1"/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1"/>
                    </a:solidFill>
                    <a:ln w="9525">
                      <a:solidFill>
                        <a:schemeClr val="accent1"/>
                      </a:solidFill>
                    </a:ln>
                    <a:effectLst/>
                  </c:spPr>
                </c:marker>
                <c:cat>
                  <c:numRef>
                    <c:extLst>
                      <c:ext uri="{02D57815-91ED-43cb-92C2-25804820EDAC}">
                        <c15:formulaRef>
                          <c15:sqref>'Ratio Analysis'!$A$3:$A$7</c15:sqref>
                        </c15:formulaRef>
                      </c:ext>
                    </c:extLst>
                    <c:numCache>
                      <c:formatCode>General</c:formatCode>
                      <c:ptCount val="5"/>
                      <c:pt idx="0">
                        <c:v>2019</c:v>
                      </c:pt>
                      <c:pt idx="1">
                        <c:v>2020</c:v>
                      </c:pt>
                      <c:pt idx="2">
                        <c:v>2021</c:v>
                      </c:pt>
                      <c:pt idx="3">
                        <c:v>2022</c:v>
                      </c:pt>
                      <c:pt idx="4">
                        <c:v>2023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'Ratio Analysis'!$A$3:$A$7</c15:sqref>
                        </c15:formulaRef>
                      </c:ext>
                    </c:extLst>
                    <c:numCache>
                      <c:formatCode>General</c:formatCode>
                      <c:ptCount val="5"/>
                      <c:pt idx="0">
                        <c:v>2019</c:v>
                      </c:pt>
                      <c:pt idx="1">
                        <c:v>2020</c:v>
                      </c:pt>
                      <c:pt idx="2">
                        <c:v>2021</c:v>
                      </c:pt>
                      <c:pt idx="3">
                        <c:v>2022</c:v>
                      </c:pt>
                      <c:pt idx="4">
                        <c:v>2023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0-C05C-4637-8936-98C1C8330A33}"/>
                  </c:ext>
                </c:extLst>
              </c15:ser>
            </c15:filteredLineSeries>
          </c:ext>
        </c:extLst>
      </c:lineChart>
      <c:catAx>
        <c:axId val="15212319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82516815"/>
        <c:crosses val="autoZero"/>
        <c:auto val="1"/>
        <c:lblAlgn val="ctr"/>
        <c:lblOffset val="100"/>
        <c:noMultiLvlLbl val="0"/>
      </c:catAx>
      <c:valAx>
        <c:axId val="382516815"/>
        <c:scaling>
          <c:orientation val="minMax"/>
          <c:max val="2"/>
        </c:scaling>
        <c:delete val="0"/>
        <c:axPos val="l"/>
        <c:majorGridlines>
          <c:spPr>
            <a:ln w="19050" cap="flat" cmpd="sng" algn="ctr">
              <a:solidFill>
                <a:schemeClr val="bg2">
                  <a:lumMod val="50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212319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zero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b="1"/>
              <a:t>Leverage</a:t>
            </a:r>
            <a:r>
              <a:rPr lang="en-IN" b="1" baseline="0"/>
              <a:t> Ratio - Debt to Equity (2019 - 2023)</a:t>
            </a:r>
            <a:endParaRPr lang="en-IN" b="1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IN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'Ratio Analysis'!$A$2</c:f>
              <c:strCache>
                <c:ptCount val="1"/>
                <c:pt idx="0">
                  <c:v>Year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numRef>
              <c:f>'Ratio Analysis'!$A$3:$A$7</c:f>
              <c:numCache>
                <c:formatCode>General</c:formatCode>
                <c:ptCount val="5"/>
                <c:pt idx="0">
                  <c:v>2019</c:v>
                </c:pt>
                <c:pt idx="1">
                  <c:v>2020</c:v>
                </c:pt>
                <c:pt idx="2">
                  <c:v>2021</c:v>
                </c:pt>
                <c:pt idx="3">
                  <c:v>2022</c:v>
                </c:pt>
                <c:pt idx="4">
                  <c:v>2023</c:v>
                </c:pt>
              </c:numCache>
            </c:numRef>
          </c:cat>
          <c:val>
            <c:numRef>
              <c:f>'Ratio Analysis'!$A$3:$A$7</c:f>
              <c:numCache>
                <c:formatCode>General</c:formatCode>
                <c:ptCount val="5"/>
                <c:pt idx="0">
                  <c:v>2019</c:v>
                </c:pt>
                <c:pt idx="1">
                  <c:v>2020</c:v>
                </c:pt>
                <c:pt idx="2">
                  <c:v>2021</c:v>
                </c:pt>
                <c:pt idx="3">
                  <c:v>2022</c:v>
                </c:pt>
                <c:pt idx="4">
                  <c:v>2023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6D1-42FD-85FC-C7EC9A357800}"/>
            </c:ext>
          </c:extLst>
        </c:ser>
        <c:ser>
          <c:idx val="1"/>
          <c:order val="1"/>
          <c:tx>
            <c:strRef>
              <c:f>'Ratio Analysis'!$F$2</c:f>
              <c:strCache>
                <c:ptCount val="1"/>
                <c:pt idx="0">
                  <c:v>Debt to equity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numRef>
              <c:f>'Ratio Analysis'!$A$3:$A$7</c:f>
              <c:numCache>
                <c:formatCode>General</c:formatCode>
                <c:ptCount val="5"/>
                <c:pt idx="0">
                  <c:v>2019</c:v>
                </c:pt>
                <c:pt idx="1">
                  <c:v>2020</c:v>
                </c:pt>
                <c:pt idx="2">
                  <c:v>2021</c:v>
                </c:pt>
                <c:pt idx="3">
                  <c:v>2022</c:v>
                </c:pt>
                <c:pt idx="4">
                  <c:v>2023</c:v>
                </c:pt>
              </c:numCache>
            </c:numRef>
          </c:cat>
          <c:val>
            <c:numRef>
              <c:f>'Ratio Analysis'!$F$3:$F$7</c:f>
              <c:numCache>
                <c:formatCode>0.00</c:formatCode>
                <c:ptCount val="5"/>
                <c:pt idx="0">
                  <c:v>2.7410043320661304</c:v>
                </c:pt>
                <c:pt idx="1">
                  <c:v>3.9570394404566951</c:v>
                </c:pt>
                <c:pt idx="2">
                  <c:v>4.5635124425423994</c:v>
                </c:pt>
                <c:pt idx="3">
                  <c:v>5.9615369434796337</c:v>
                </c:pt>
                <c:pt idx="4">
                  <c:v>4.6734624915521517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C6D1-42FD-85FC-C7EC9A35780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758924191"/>
        <c:axId val="1758924671"/>
      </c:lineChart>
      <c:catAx>
        <c:axId val="175892419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58924671"/>
        <c:crosses val="autoZero"/>
        <c:auto val="1"/>
        <c:lblAlgn val="ctr"/>
        <c:lblOffset val="100"/>
        <c:noMultiLvlLbl val="0"/>
      </c:catAx>
      <c:valAx>
        <c:axId val="1758924671"/>
        <c:scaling>
          <c:orientation val="minMax"/>
          <c:max val="7"/>
          <c:min val="0"/>
        </c:scaling>
        <c:delete val="0"/>
        <c:axPos val="l"/>
        <c:majorGridlines>
          <c:spPr>
            <a:ln w="19050" cap="flat" cmpd="sng" algn="ctr">
              <a:solidFill>
                <a:schemeClr val="bg2">
                  <a:lumMod val="50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5892419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2">
  <a:schemeClr val="accent2"/>
  <a:schemeClr val="accent4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39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800" kern="1200" cap="all" spc="120" normalizeH="0" baseline="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50000"/>
        <a:lumOff val="50000"/>
      </a:schemeClr>
    </cs:fontRef>
    <cs:defRPr sz="900" b="0" i="0" u="none" strike="noStrike" kern="1200" baseline="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phClr"/>
        </a:solidFill>
        <a:round/>
      </a:ln>
    </cs:spPr>
  </cs:dataPointMarker>
  <cs:dataPointMarkerLayout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15000"/>
            <a:lumOff val="8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cap="all" spc="12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8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53340</xdr:colOff>
      <xdr:row>2</xdr:row>
      <xdr:rowOff>121920</xdr:rowOff>
    </xdr:from>
    <xdr:to>
      <xdr:col>8</xdr:col>
      <xdr:colOff>91440</xdr:colOff>
      <xdr:row>21</xdr:row>
      <xdr:rowOff>26670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6D6F626B-7E25-5DCB-BD7F-36614BAC6B5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17</xdr:col>
      <xdr:colOff>601980</xdr:colOff>
      <xdr:row>2</xdr:row>
      <xdr:rowOff>114300</xdr:rowOff>
    </xdr:from>
    <xdr:to>
      <xdr:col>25</xdr:col>
      <xdr:colOff>586740</xdr:colOff>
      <xdr:row>21</xdr:row>
      <xdr:rowOff>34290</xdr:rowOff>
    </xdr:to>
    <xdr:graphicFrame macro="">
      <xdr:nvGraphicFramePr>
        <xdr:cNvPr id="3" name="Chart 3">
          <a:extLst>
            <a:ext uri="{FF2B5EF4-FFF2-40B4-BE49-F238E27FC236}">
              <a16:creationId xmlns:a16="http://schemas.microsoft.com/office/drawing/2014/main" id="{D9E7B61E-01EA-96D1-9113-00EAD8AC7C1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8</xdr:col>
      <xdr:colOff>426720</xdr:colOff>
      <xdr:row>2</xdr:row>
      <xdr:rowOff>144780</xdr:rowOff>
    </xdr:from>
    <xdr:to>
      <xdr:col>17</xdr:col>
      <xdr:colOff>53340</xdr:colOff>
      <xdr:row>20</xdr:row>
      <xdr:rowOff>114300</xdr:rowOff>
    </xdr:to>
    <xdr:graphicFrame macro="">
      <xdr:nvGraphicFramePr>
        <xdr:cNvPr id="4" name="Chart 1">
          <a:extLst>
            <a:ext uri="{FF2B5EF4-FFF2-40B4-BE49-F238E27FC236}">
              <a16:creationId xmlns:a16="http://schemas.microsoft.com/office/drawing/2014/main" id="{8DE20CC1-483D-CA33-1EF6-8707AB8E83F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86239C-C5C1-4546-8A30-4BC54FA2D92C}">
  <dimension ref="A1:H7"/>
  <sheetViews>
    <sheetView workbookViewId="0">
      <selection activeCell="G10" sqref="G10"/>
    </sheetView>
  </sheetViews>
  <sheetFormatPr defaultRowHeight="14.4" x14ac:dyDescent="0.3"/>
  <cols>
    <col min="3" max="3" width="10.88671875" customWidth="1"/>
    <col min="4" max="4" width="10.77734375" bestFit="1" customWidth="1"/>
    <col min="5" max="5" width="10.6640625" bestFit="1" customWidth="1"/>
    <col min="6" max="6" width="10.6640625" customWidth="1"/>
    <col min="7" max="7" width="13" customWidth="1"/>
    <col min="8" max="8" width="15.88671875" customWidth="1"/>
  </cols>
  <sheetData>
    <row r="1" spans="1:8" ht="18" x14ac:dyDescent="0.35">
      <c r="A1" s="7" t="s">
        <v>0</v>
      </c>
      <c r="B1" s="8"/>
      <c r="C1" s="8"/>
      <c r="D1" s="8"/>
      <c r="E1" s="8"/>
      <c r="F1" s="8"/>
      <c r="G1" s="8"/>
      <c r="H1" s="8"/>
    </row>
    <row r="2" spans="1:8" x14ac:dyDescent="0.3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14</v>
      </c>
      <c r="G2" s="1" t="s">
        <v>6</v>
      </c>
      <c r="H2" s="1" t="s">
        <v>7</v>
      </c>
    </row>
    <row r="3" spans="1:8" x14ac:dyDescent="0.3">
      <c r="A3">
        <v>2019</v>
      </c>
      <c r="B3">
        <v>260174</v>
      </c>
      <c r="C3">
        <v>55256</v>
      </c>
      <c r="D3">
        <v>338516</v>
      </c>
      <c r="E3">
        <v>90488</v>
      </c>
      <c r="F3" cm="1">
        <f t="array" ref="F3:F7">D3:D7 - E3:E7</f>
        <v>248028</v>
      </c>
      <c r="G3">
        <v>162819</v>
      </c>
      <c r="H3">
        <v>105718</v>
      </c>
    </row>
    <row r="4" spans="1:8" x14ac:dyDescent="0.3">
      <c r="A4">
        <v>2020</v>
      </c>
      <c r="B4">
        <v>274515</v>
      </c>
      <c r="C4">
        <v>57411</v>
      </c>
      <c r="D4">
        <v>323888</v>
      </c>
      <c r="E4">
        <v>65339</v>
      </c>
      <c r="F4">
        <v>258549</v>
      </c>
      <c r="G4">
        <v>143713</v>
      </c>
      <c r="H4">
        <v>105392</v>
      </c>
    </row>
    <row r="5" spans="1:8" x14ac:dyDescent="0.3">
      <c r="A5">
        <v>2021</v>
      </c>
      <c r="B5">
        <v>365817</v>
      </c>
      <c r="C5">
        <v>94680</v>
      </c>
      <c r="D5">
        <v>351002</v>
      </c>
      <c r="E5">
        <v>63090</v>
      </c>
      <c r="F5">
        <v>287912</v>
      </c>
      <c r="G5">
        <v>134836</v>
      </c>
      <c r="H5">
        <v>125481</v>
      </c>
    </row>
    <row r="6" spans="1:8" x14ac:dyDescent="0.3">
      <c r="A6">
        <v>2022</v>
      </c>
      <c r="B6">
        <v>394328</v>
      </c>
      <c r="C6">
        <v>99803</v>
      </c>
      <c r="D6">
        <v>352755</v>
      </c>
      <c r="E6">
        <v>50672</v>
      </c>
      <c r="F6">
        <v>302083</v>
      </c>
      <c r="G6">
        <v>135405</v>
      </c>
      <c r="H6">
        <v>153982</v>
      </c>
    </row>
    <row r="7" spans="1:8" x14ac:dyDescent="0.3">
      <c r="A7">
        <v>2023</v>
      </c>
      <c r="B7">
        <v>383285</v>
      </c>
      <c r="C7">
        <v>96995</v>
      </c>
      <c r="D7">
        <v>352583</v>
      </c>
      <c r="E7">
        <v>62146</v>
      </c>
      <c r="F7">
        <v>290437</v>
      </c>
      <c r="G7">
        <v>143566</v>
      </c>
      <c r="H7">
        <v>145308</v>
      </c>
    </row>
  </sheetData>
  <mergeCells count="1">
    <mergeCell ref="A1:H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69AA75-744A-4B14-9F1E-D6F269D6F20E}">
  <dimension ref="A1:F7"/>
  <sheetViews>
    <sheetView tabSelected="1" workbookViewId="0">
      <selection activeCell="D17" sqref="D17"/>
    </sheetView>
  </sheetViews>
  <sheetFormatPr defaultRowHeight="14.4" x14ac:dyDescent="0.3"/>
  <cols>
    <col min="2" max="2" width="15.6640625" bestFit="1" customWidth="1"/>
    <col min="5" max="5" width="12.77734375" customWidth="1"/>
    <col min="6" max="6" width="13.109375" bestFit="1" customWidth="1"/>
  </cols>
  <sheetData>
    <row r="1" spans="1:6" ht="18" x14ac:dyDescent="0.35">
      <c r="A1" s="7" t="s">
        <v>16</v>
      </c>
      <c r="B1" s="7"/>
      <c r="C1" s="7"/>
      <c r="D1" s="7"/>
      <c r="E1" s="7"/>
      <c r="F1" s="7"/>
    </row>
    <row r="2" spans="1:6" x14ac:dyDescent="0.3">
      <c r="A2" s="2" t="s">
        <v>12</v>
      </c>
      <c r="B2" s="2" t="s">
        <v>8</v>
      </c>
      <c r="C2" s="2" t="s">
        <v>9</v>
      </c>
      <c r="D2" s="2" t="s">
        <v>10</v>
      </c>
      <c r="E2" s="2" t="s">
        <v>11</v>
      </c>
      <c r="F2" s="6" t="s">
        <v>15</v>
      </c>
    </row>
    <row r="3" spans="1:6" x14ac:dyDescent="0.3">
      <c r="A3">
        <v>2019</v>
      </c>
      <c r="B3" s="3">
        <f>'Raw Data'!C3/'Raw Data'!B3</f>
        <v>0.21238094505984456</v>
      </c>
      <c r="C3" s="3">
        <f>'Raw Data'!C3/'Raw Data'!E3</f>
        <v>0.61064450534877557</v>
      </c>
      <c r="D3" s="3">
        <f>'Raw Data'!C3/'Raw Data'!D3</f>
        <v>0.16323009842961633</v>
      </c>
      <c r="E3" s="4">
        <f>'Raw Data'!G3/'Raw Data'!H3</f>
        <v>1.540125617208044</v>
      </c>
      <c r="F3" s="4">
        <f>'Raw Data'!F3/'Raw Data'!E3</f>
        <v>2.7410043320661304</v>
      </c>
    </row>
    <row r="4" spans="1:6" x14ac:dyDescent="0.3">
      <c r="A4">
        <v>2020</v>
      </c>
      <c r="B4" s="3">
        <f>'Raw Data'!C4/'Raw Data'!B4</f>
        <v>0.20913611278072236</v>
      </c>
      <c r="C4" s="3">
        <f>'Raw Data'!C4/'Raw Data'!E4</f>
        <v>0.87866358530127486</v>
      </c>
      <c r="D4" s="3">
        <f>'Raw Data'!C4/'Raw Data'!D4</f>
        <v>0.1772557180259843</v>
      </c>
      <c r="E4" s="4">
        <f>'Raw Data'!G4/'Raw Data'!H4</f>
        <v>1.3636044481554577</v>
      </c>
      <c r="F4" s="4">
        <f>'Raw Data'!F4/'Raw Data'!E4</f>
        <v>3.9570394404566951</v>
      </c>
    </row>
    <row r="5" spans="1:6" x14ac:dyDescent="0.3">
      <c r="A5">
        <v>2021</v>
      </c>
      <c r="B5" s="3">
        <f>'Raw Data'!C5/'Raw Data'!B5</f>
        <v>0.25881793355694238</v>
      </c>
      <c r="C5" s="3">
        <f>'Raw Data'!C5/'Raw Data'!E5</f>
        <v>1.5007132667617689</v>
      </c>
      <c r="D5" s="3">
        <f>'Raw Data'!C5/'Raw Data'!D5</f>
        <v>0.26974205275183616</v>
      </c>
      <c r="E5" s="4">
        <f>'Raw Data'!G5/'Raw Data'!H5</f>
        <v>1.0745531195957954</v>
      </c>
      <c r="F5" s="4">
        <f>'Raw Data'!F5/'Raw Data'!E5</f>
        <v>4.5635124425423994</v>
      </c>
    </row>
    <row r="6" spans="1:6" x14ac:dyDescent="0.3">
      <c r="A6">
        <v>2022</v>
      </c>
      <c r="B6" s="3">
        <f>'Raw Data'!C6/'Raw Data'!B6</f>
        <v>0.25309640705199732</v>
      </c>
      <c r="C6" s="3">
        <f>'Raw Data'!C6/'Raw Data'!E6</f>
        <v>1.9695887275023682</v>
      </c>
      <c r="D6" s="3">
        <f>'Raw Data'!C6/'Raw Data'!D6</f>
        <v>0.28292440929256851</v>
      </c>
      <c r="E6" s="4">
        <f>'Raw Data'!G6/'Raw Data'!H6</f>
        <v>0.87935602862672257</v>
      </c>
      <c r="F6" s="4">
        <f>'Raw Data'!F6/'Raw Data'!E6</f>
        <v>5.9615369434796337</v>
      </c>
    </row>
    <row r="7" spans="1:6" x14ac:dyDescent="0.3">
      <c r="A7">
        <v>2023</v>
      </c>
      <c r="B7" s="3">
        <f>'Raw Data'!C7/'Raw Data'!B7</f>
        <v>0.25306234264320282</v>
      </c>
      <c r="C7" s="3">
        <f>'Raw Data'!C7/'Raw Data'!E7</f>
        <v>1.5607601454639075</v>
      </c>
      <c r="D7" s="3">
        <f>'Raw Data'!C7/'Raw Data'!D7</f>
        <v>0.27509834563776475</v>
      </c>
      <c r="E7" s="4">
        <f>'Raw Data'!G7/'Raw Data'!H7</f>
        <v>0.98801167175929749</v>
      </c>
      <c r="F7" s="4">
        <f>'Raw Data'!F7/'Raw Data'!E7</f>
        <v>4.6734624915521517</v>
      </c>
    </row>
  </sheetData>
  <mergeCells count="1">
    <mergeCell ref="A1:F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FAE290-5ABB-4FB0-835C-49897CD0EF5E}">
  <dimension ref="A1:K6"/>
  <sheetViews>
    <sheetView workbookViewId="0">
      <selection activeCell="Q23" sqref="Q23"/>
    </sheetView>
  </sheetViews>
  <sheetFormatPr defaultRowHeight="14.4" x14ac:dyDescent="0.3"/>
  <cols>
    <col min="8" max="8" width="9.88671875" customWidth="1"/>
    <col min="11" max="11" width="10.109375" customWidth="1"/>
  </cols>
  <sheetData>
    <row r="1" spans="1:11" ht="21" x14ac:dyDescent="0.4">
      <c r="A1" s="9" t="s">
        <v>13</v>
      </c>
      <c r="B1" s="7"/>
      <c r="C1" s="7"/>
      <c r="D1" s="7"/>
      <c r="E1" s="7"/>
      <c r="F1" s="7"/>
      <c r="G1" s="7"/>
      <c r="H1" s="7"/>
    </row>
    <row r="6" spans="1:11" ht="18" x14ac:dyDescent="0.35">
      <c r="K6" s="5"/>
    </row>
  </sheetData>
  <mergeCells count="1">
    <mergeCell ref="A1:H1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Raw Data</vt:lpstr>
      <vt:lpstr>Ratio Analysis</vt:lpstr>
      <vt:lpstr>Dashboard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RESHMA GUTALA</dc:creator>
  <cp:lastModifiedBy>RESHMA GUTALA</cp:lastModifiedBy>
  <dcterms:created xsi:type="dcterms:W3CDTF">2026-02-24T17:30:24Z</dcterms:created>
  <dcterms:modified xsi:type="dcterms:W3CDTF">2026-02-26T07:05:04Z</dcterms:modified>
</cp:coreProperties>
</file>